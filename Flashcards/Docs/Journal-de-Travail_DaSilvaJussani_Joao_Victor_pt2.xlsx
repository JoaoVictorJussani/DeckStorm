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g05lby\Documents\GitHub\Flashcards\Flashcards\Docs\"/>
    </mc:Choice>
  </mc:AlternateContent>
  <xr:revisionPtr revIDLastSave="0" documentId="13_ncr:1_{AEDAEC94-18D2-43C8-B9E0-EB442B994D5D}" xr6:coauthVersionLast="47" xr6:coauthVersionMax="47" xr10:uidLastSave="{00000000-0000-0000-0000-000000000000}"/>
  <bookViews>
    <workbookView xWindow="2250" yWindow="2250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<sst xmlns="http://schemas.openxmlformats.org/spreadsheetml/2006/main" count="52" uniqueCount="39">
  <si>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</si>
  <si>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</si>
  <si>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</si>
  <si>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</si>
  <si>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</si>
  <si>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</si>
  <si>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</si>
  <si>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</si>
  <si>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</si>
  <si>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</si>
  <si>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</si>
  <si>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</si>
  <si>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</si>
  <si>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</si>
  <si>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</si>
  <si>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</si>
  <si>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</si>
  <si>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</si>
  <si>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</si>
  <si>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</si>
  <si>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</si>
  <si>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</si>
  <si>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</si>
  <si>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</si>
  <si>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</si>
  <si>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</si>
  <si>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</si>
  <si>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</si>
  <si>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</si>
  <si>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Da Silva Jussani - João Victor</t>
  </si>
  <si>
    <t>P_Bulles_Dev: Flashcards + dockerisation</t>
  </si>
  <si>
    <t>26.03.2025 au 30.05.2025</t>
  </si>
  <si>
    <t>Mode chronométré</t>
  </si>
  <si>
    <t>bons messages d'erreurs + messages flash</t>
  </si>
  <si>
    <t>Gérer sa collection de decks</t>
  </si>
  <si>
    <t>Mode public / mode privé des decks</t>
  </si>
  <si>
    <t>tri des cartes (flèches pour trier par ordre croissante et décroissante)</t>
  </si>
  <si>
    <t>Comprendre la dockerisation</t>
  </si>
  <si>
    <t>dockerisation, 100% erreur, je suis toujours au point de départ pour 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</si>
</sst>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0"/>
      <color rgb="FF212529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8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16" fillId="0" borderId="0" xfId="0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45</c:v>
                </c:pt>
                <c:pt idx="1">
                  <c:v>405</c:v>
                </c:pt>
                <c:pt idx="2">
                  <c:v>225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6.6666666666666666E-2</c:v>
                </c:pt>
                <c:pt idx="1">
                  <c:v>0.6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.      " dataDxfId="4"/>
    <tableColumn id="4" xr3:uid="{BE4D837D-FC99-BA48-A82F-B8C8E4CE5BF8}" name="min." dataDxfId="3"/>
    <tableColumn id="5" xr3:uid="{A2DCC539-6D2A-B04A-BF8E-6FACE6268D1F}" name="Type" dataDxfId="2"/>
    <tableColumn id="6" xr3:uid="{4EA406B9-7EF7-D547-AF98-5AD11BE168E9}" name="Description" dataDxfId="1"/>
    <tableColumn id="7" xr3:uid="{1735360B-2647-6D42-A0E3-3425EE302FFD}" name="Remarques/problè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13" sqref="F13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6" t="s">
        <v>0</v>
      </c>
      <c r="B2" s="86"/>
      <c r="C2" s="84" t="s">
        <v>29</v>
      </c>
      <c r="D2" s="84"/>
      <c r="E2" s="84"/>
      <c r="F2" s="5" t="s">
        <v>1</v>
      </c>
      <c r="G2" s="64" t="s">
        <v>30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11 heures 15 minutes</v>
      </c>
      <c r="D3" s="17"/>
      <c r="E3" s="3"/>
      <c r="F3" s="4" t="s">
        <v>6</v>
      </c>
      <c r="G3" s="65" t="s">
        <v>31</v>
      </c>
    </row>
    <row r="4" spans="1:15" ht="23.25" hidden="1" x14ac:dyDescent="0.35">
      <c r="B4" s="5"/>
      <c r="C4" s="17">
        <f>SUBTOTAL(9,$C$7:$C$531)*60</f>
        <v>420</v>
      </c>
      <c r="D4" s="17">
        <f>SUBTOTAL(9,$D$7:$D$531)</f>
        <v>255</v>
      </c>
      <c r="E4" s="24">
        <f>SUM(C4:D4)</f>
        <v>675</v>
      </c>
      <c r="F4" s="4"/>
      <c r="G4" s="6"/>
    </row>
    <row r="5" spans="1:15" x14ac:dyDescent="0.25">
      <c r="C5" s="85" t="s">
        <v>14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x14ac:dyDescent="0.25">
      <c r="A7" s="61">
        <f>IF(ISBLANK(B7),"",_xlfn.ISOWEEKNUM('Journal de travail'!$B7))</f>
        <v>13</v>
      </c>
      <c r="B7" s="26">
        <v>45742</v>
      </c>
      <c r="C7" s="27">
        <v>1</v>
      </c>
      <c r="D7" s="28">
        <v>45</v>
      </c>
      <c r="E7" s="29" t="s">
        <v>19</v>
      </c>
      <c r="F7" s="23" t="s">
        <v>32</v>
      </c>
      <c r="G7" s="38"/>
    </row>
    <row r="8" spans="1:15" x14ac:dyDescent="0.25">
      <c r="A8" s="62" t="str">
        <f>IF(ISBLANK(B8),"",_xlfn.ISOWEEKNUM('Journal de travail'!$B8))</f>
        <v/>
      </c>
      <c r="B8" s="30"/>
      <c r="C8" s="31">
        <v>1</v>
      </c>
      <c r="D8" s="32">
        <v>30</v>
      </c>
      <c r="E8" s="33" t="s">
        <v>19</v>
      </c>
      <c r="F8" s="23" t="s">
        <v>33</v>
      </c>
      <c r="G8" s="39"/>
      <c r="M8" t="s">
        <v>2</v>
      </c>
      <c r="N8">
        <v>1</v>
      </c>
      <c r="O8">
        <v>0</v>
      </c>
    </row>
    <row r="9" spans="1:15" x14ac:dyDescent="0.25">
      <c r="A9" s="63" t="str">
        <f>IF(ISBLANK(B9),"",_xlfn.ISOWEEKNUM('Journal de travail'!$B9))</f>
        <v/>
      </c>
      <c r="B9" s="34"/>
      <c r="C9" s="35"/>
      <c r="D9" s="36">
        <v>30</v>
      </c>
      <c r="E9" s="37" t="s">
        <v>19</v>
      </c>
      <c r="F9" s="87" t="s">
        <v>34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14</v>
      </c>
      <c r="B10" s="30">
        <v>45749</v>
      </c>
      <c r="C10" s="31">
        <v>1</v>
      </c>
      <c r="D10" s="32">
        <v>30</v>
      </c>
      <c r="E10" s="33" t="s">
        <v>19</v>
      </c>
      <c r="F10" s="23" t="s">
        <v>35</v>
      </c>
      <c r="G10" s="39"/>
      <c r="M10" t="s">
        <v>3</v>
      </c>
      <c r="N10">
        <v>3</v>
      </c>
      <c r="O10">
        <v>10</v>
      </c>
    </row>
    <row r="11" spans="1:15" x14ac:dyDescent="0.25">
      <c r="A11" s="63" t="str">
        <f>IF(ISBLANK(B11),"",_xlfn.ISOWEEKNUM('Journal de travail'!$B11))</f>
        <v/>
      </c>
      <c r="B11" s="34"/>
      <c r="C11" s="35">
        <v>1</v>
      </c>
      <c r="D11" s="36">
        <v>30</v>
      </c>
      <c r="E11" s="37" t="s">
        <v>19</v>
      </c>
      <c r="F11" s="23" t="s">
        <v>36</v>
      </c>
      <c r="G11" s="40"/>
      <c r="M11" t="s">
        <v>4</v>
      </c>
      <c r="N11">
        <v>4</v>
      </c>
      <c r="O11">
        <v>15</v>
      </c>
    </row>
    <row r="12" spans="1:15" x14ac:dyDescent="0.25">
      <c r="A12" s="62" t="str">
        <f>IF(ISBLANK(B12),"",_xlfn.ISOWEEKNUM('Journal de travail'!$B12))</f>
        <v/>
      </c>
      <c r="B12" s="30"/>
      <c r="C12" s="31"/>
      <c r="D12" s="32">
        <v>45</v>
      </c>
      <c r="E12" s="33" t="s">
        <v>2</v>
      </c>
      <c r="F12" s="23" t="s">
        <v>37</v>
      </c>
      <c r="G12" s="39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15</v>
      </c>
      <c r="B13" s="34">
        <v>45756</v>
      </c>
      <c r="C13" s="35">
        <v>3</v>
      </c>
      <c r="D13" s="36">
        <v>45</v>
      </c>
      <c r="E13" s="37" t="s">
        <v>3</v>
      </c>
      <c r="F13" s="23" t="s">
        <v>38</v>
      </c>
      <c r="G13" s="40"/>
      <c r="N13">
        <v>6</v>
      </c>
      <c r="O13">
        <v>25</v>
      </c>
    </row>
    <row r="14" spans="1:15" x14ac:dyDescent="0.25">
      <c r="A14" s="62" t="str">
        <f>IF(ISBLANK(B14),"",_xlfn.ISOWEEKNUM('Journal de travail'!$B14))</f>
        <v/>
      </c>
      <c r="B14" s="30"/>
      <c r="C14" s="31"/>
      <c r="D14" s="32"/>
      <c r="E14" s="33"/>
      <c r="F14" s="23"/>
      <c r="G14" s="39"/>
      <c r="N14">
        <v>7</v>
      </c>
      <c r="O14">
        <v>30</v>
      </c>
    </row>
    <row r="15" spans="1:15" x14ac:dyDescent="0.25">
      <c r="A15" s="63" t="str">
        <f>IF(ISBLANK(B15),"",_xlfn.ISOWEEKNUM('Journal de travail'!$B15))</f>
        <v/>
      </c>
      <c r="B15" s="34"/>
      <c r="C15" s="35"/>
      <c r="D15" s="36"/>
      <c r="E15" s="37"/>
      <c r="F15" s="23"/>
      <c r="G15" s="40"/>
      <c r="N15">
        <v>8</v>
      </c>
      <c r="O15">
        <v>35</v>
      </c>
    </row>
    <row r="16" spans="1:15" x14ac:dyDescent="0.25">
      <c r="A16" s="62" t="str">
        <f>IF(ISBLANK(B16),"",_xlfn.ISOWEEKNUM('Journal de travail'!$B16))</f>
        <v/>
      </c>
      <c r="B16" s="30"/>
      <c r="C16" s="31"/>
      <c r="D16" s="32"/>
      <c r="E16" s="33"/>
      <c r="F16" s="23"/>
      <c r="G16" s="39"/>
      <c r="O16">
        <v>40</v>
      </c>
    </row>
    <row r="17" spans="1:15" x14ac:dyDescent="0.25">
      <c r="A17" s="63" t="str">
        <f>IF(ISBLANK(B17),"",_xlfn.ISOWEEKNUM('Journal de travail'!$B17))</f>
        <v/>
      </c>
      <c r="B17" s="34"/>
      <c r="C17" s="35"/>
      <c r="D17" s="36"/>
      <c r="E17" s="37"/>
      <c r="F17" s="23"/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/>
      <c r="D18" s="32"/>
      <c r="E18" s="33"/>
      <c r="F18" s="23"/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/>
      <c r="E19" s="37"/>
      <c r="F19" s="23"/>
      <c r="G19" s="40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17" priority="1">
      <formula>$E7="Absent"</formula>
    </cfRule>
    <cfRule type="expression" dxfId="16" priority="2">
      <formula>$E7="Autre"</formula>
    </cfRule>
    <cfRule type="expression" dxfId="15" priority="3" stopIfTrue="1">
      <formula>$E7="Design"</formula>
    </cfRule>
    <cfRule type="expression" dxfId="14" priority="4" stopIfTrue="1">
      <formula>$E7="Présentation"</formula>
    </cfRule>
    <cfRule type="expression" dxfId="13" priority="5" stopIfTrue="1">
      <formula>$E7="Meeting"</formula>
    </cfRule>
    <cfRule type="expression" dxfId="12" priority="6" stopIfTrue="1">
      <formula>$E7="Documentation"</formula>
    </cfRule>
    <cfRule type="expression" dxfId="11" priority="7" stopIfTrue="1">
      <formula>$E7="Test"</formula>
    </cfRule>
    <cfRule type="expression" dxfId="10" priority="8" stopIfTrue="1">
      <formula>$E7="Analyse"</formula>
    </cfRule>
    <cfRule type="expression" dxfId="9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4" workbookViewId="0">
      <selection activeCell="P11" sqref="P11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88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45</v>
      </c>
      <c r="C6">
        <f t="shared" ref="C6:C10" si="0">SUM(A6:B6)</f>
        <v>45</v>
      </c>
      <c r="E6" s="70" t="str">
        <f>'Journal de travail'!M8</f>
        <v>Analyse</v>
      </c>
      <c r="F6" s="71" t="str">
        <f>QUOTIENT(SUM(A6:B6),60)&amp;" h "&amp;TEXT(MOD(SUM(A6:B6),60), "00")&amp;" min"</f>
        <v>0 h 45 min</v>
      </c>
      <c r="G6" s="72">
        <f>SUM(A6:B6)/$C$11</f>
        <v>6.6666666666666666E-2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 x14ac:dyDescent="0.3">
      <c r="A7">
        <f>SUMIF('Journal de travail'!$E$7:$E$532,Plannification!E7,'Journal de travail'!$C$7:$C$532)*60</f>
        <v>240</v>
      </c>
      <c r="B7">
        <f>SUMIF('Journal de travail'!$E$7:$E$532,Plannification!E7,'Journal de travail'!$D$7:$D$532)</f>
        <v>165</v>
      </c>
      <c r="C7">
        <f t="shared" si="0"/>
        <v>405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6 h 45 min</v>
      </c>
      <c r="G7" s="75">
        <f t="shared" ref="G7:G9" si="2">SUM(A7:B7)/$C$11</f>
        <v>0.6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35 h 12 m</v>
      </c>
      <c r="N7" s="59">
        <v>0.4</v>
      </c>
    </row>
    <row r="8" spans="1:14" x14ac:dyDescent="0.3">
      <c r="A8">
        <f>SUMIF('Journal de travail'!$E$7:$E$532,Plannification!E8,'Journal de travail'!$C$7:$C$532)*60</f>
        <v>180</v>
      </c>
      <c r="B8">
        <f>SUMIF('Journal de travail'!$E$7:$E$532,Plannification!E8,'Journal de travail'!$D$7:$D$532)</f>
        <v>45</v>
      </c>
      <c r="C8">
        <f t="shared" si="0"/>
        <v>225</v>
      </c>
      <c r="E8" s="76" t="str">
        <f>'Journal de travail'!M10</f>
        <v>Test</v>
      </c>
      <c r="F8" s="71" t="str">
        <f t="shared" si="1"/>
        <v>3 h 45 min</v>
      </c>
      <c r="G8" s="72">
        <f t="shared" si="2"/>
        <v>0.33333333333333331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7" t="str">
        <f>'Journal de travail'!M11</f>
        <v>Documentation</v>
      </c>
      <c r="F9" s="74" t="str">
        <f t="shared" si="1"/>
        <v>0 h 00 min</v>
      </c>
      <c r="G9" s="75">
        <f t="shared" si="2"/>
        <v>0</v>
      </c>
      <c r="L9" s="55" t="str">
        <f>'Journal de travail'!M11</f>
        <v>Documentation</v>
      </c>
      <c r="M9" s="52" t="str">
        <f t="shared" si="3"/>
        <v>22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4 h 24 m</v>
      </c>
      <c r="N10" s="83">
        <v>0.05</v>
      </c>
    </row>
    <row r="11" spans="1:14" x14ac:dyDescent="0.3">
      <c r="A11">
        <f>SUM(A6:A10)</f>
        <v>420</v>
      </c>
      <c r="B11">
        <f>SUM(B6:B10)</f>
        <v>255</v>
      </c>
      <c r="C11">
        <f>SUM(A11:B11)</f>
        <v>675</v>
      </c>
      <c r="E11" s="81" t="s">
        <v>18</v>
      </c>
      <c r="F11" s="71" t="str">
        <f t="shared" si="1"/>
        <v>11 h 15 min</v>
      </c>
      <c r="G11" s="82">
        <f>C11/C12</f>
        <v>0.12784090909090909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5280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João Victor Da Silva Jussani</cp:lastModifiedBy>
  <cp:revision/>
  <dcterms:created xsi:type="dcterms:W3CDTF">2023-11-21T20:00:34Z</dcterms:created>
  <dcterms:modified xsi:type="dcterms:W3CDTF">2025-04-09T14:24:20Z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