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g05lby\Documents\GitHub\Flashcards\Docs\"/>
    </mc:Choice>
  </mc:AlternateContent>
  <xr:revisionPtr revIDLastSave="0" documentId="13_ncr:1_{889AC181-B56E-45F9-81C6-438C2436DE17}" xr6:coauthVersionLast="47" xr6:coauthVersionMax="47" xr10:uidLastSave="{00000000-0000-0000-0000-000000000000}"/>
  <bookViews>
    <workbookView xWindow="31695" yWindow="2625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<sst xmlns="http://schemas.openxmlformats.org/spreadsheetml/2006/main" count="85" uniqueCount="56">
  <si>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</si>
  <si>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</si>
  <si>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</si>
  <si>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</si>
  <si>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</si>
  <si>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</si>
  <si>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</si>
  <si>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</si>
  <si>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</si>
  <si>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</si>
  <si>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</si>
  <si>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</si>
  <si>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</si>
  <si>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</si>
  <si>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</si>
  <si>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</si>
  <si>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</si>
  <si>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</si>
  <si>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</si>
  <si>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</si>
  <si>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</si>
  <si>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</si>
  <si>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</si>
  <si>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</si>
  <si>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</si>
  <si>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</si>
  <si>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</si>
  <si>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</si>
  <si>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</si>
  <si>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Da Silva Jussani - João Victor</t>
  </si>
  <si>
    <t>P_Bulles_Dev: Flashcards + dockerisation</t>
  </si>
  <si>
    <t>26.03.2025 au 30.05.2025</t>
  </si>
  <si>
    <t>Mode chronométré</t>
  </si>
  <si>
    <t>bons messages d'erreurs + messages flash</t>
  </si>
  <si>
    <t>Gérer sa collection de decks</t>
  </si>
  <si>
    <t>Mode public / mode privé des decks</t>
  </si>
  <si>
    <t>tri des cartes (flèches pour trier par ordre croissante et décroissante)</t>
  </si>
  <si>
    <t>Comprendre la dockerisation</t>
  </si>
  <si>
    <t>dockerisation, 100% erreur, je suis toujours au point de départ pour cela</t>
  </si>
  <si>
    <t>Dockerisation complète et fonctionnelle</t>
  </si>
  <si>
    <t>Aidée par Eithan et Théo</t>
  </si>
  <si>
    <t>Modification de la partie "exercer"</t>
  </si>
  <si>
    <t>Ajout du mode jusqu'au bout</t>
  </si>
  <si>
    <t>Ajout d'un bouton d'abandon dans le mode jusqu'au bout</t>
  </si>
  <si>
    <t>Pouvoir choisir si on veut faire question à réponse ou réponse à question</t>
  </si>
  <si>
    <t>mettre une limite de 10 decks et après devoir changer de page "page 2"</t>
  </si>
  <si>
    <t>Avoir un QRCode généré pour pouvoir partagé les decks publics</t>
  </si>
  <si>
    <t xml:space="preserve">Changer la barre de navigation + logo </t>
  </si>
  <si>
    <t>Des messages de validation dans la page register</t>
  </si>
  <si>
    <t>Ajout de la page de profile et de la visite de la page de profile des autres utilisateurs</t>
  </si>
  <si>
    <t>Quand cliquer sur l'auteur du deck public, on peut voir sa page de profile</t>
  </si>
  <si>
    <t>Créer un composant pour les header</t>
  </si>
  <si>
    <t>Ajout d'un bouton d'aide pour les utilisateurs</t>
  </si>
  <si>
    <t>Un système de followers</t>
  </si>
  <si>
    <t>Barre de recherche dynamique</t>
  </si>
  <si>
    <t>pouvoir afficher en liste ou en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</si>
</sst>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0"/>
      <color rgb="FF212529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168" fontId="0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45</c:v>
                </c:pt>
                <c:pt idx="1">
                  <c:v>1530</c:v>
                </c:pt>
                <c:pt idx="2">
                  <c:v>225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2.5000000000000001E-2</c:v>
                </c:pt>
                <c:pt idx="1">
                  <c:v>0.85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9" activePane="bottomLeft" state="frozen"/>
      <selection pane="bottomLeft" activeCell="F29" sqref="F29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7" t="s">
        <v>0</v>
      </c>
      <c r="B2" s="87"/>
      <c r="C2" s="85" t="s">
        <v>29</v>
      </c>
      <c r="D2" s="85"/>
      <c r="E2" s="85"/>
      <c r="F2" s="5" t="s">
        <v>1</v>
      </c>
      <c r="G2" s="64" t="s">
        <v>30</v>
      </c>
    </row>
    <row r="3" spans="1:15" ht="23.25" x14ac:dyDescent="0.35">
      <c r="A3" s="87" t="s">
        <v>5</v>
      </c>
      <c r="B3" s="87"/>
      <c r="C3" s="67" t="str">
        <f>QUOTIENT(E4,60)&amp;" heures "&amp;MOD(E4,60)&amp;" minutes"</f>
        <v>30 heures 0 minutes</v>
      </c>
      <c r="D3" s="17"/>
      <c r="E3" s="3"/>
      <c r="F3" s="4" t="s">
        <v>6</v>
      </c>
      <c r="G3" s="65" t="s">
        <v>31</v>
      </c>
    </row>
    <row r="4" spans="1:15" ht="23.25" hidden="1" x14ac:dyDescent="0.35">
      <c r="B4" s="5"/>
      <c r="C4" s="17">
        <f>SUBTOTAL(9,$C$7:$C$531)*60</f>
        <v>1140</v>
      </c>
      <c r="D4" s="17">
        <f>SUBTOTAL(9,$D$7:$D$531)</f>
        <v>660</v>
      </c>
      <c r="E4" s="24">
        <f>SUM(C4:D4)</f>
        <v>1800</v>
      </c>
      <c r="F4" s="4"/>
      <c r="G4" s="6"/>
    </row>
    <row r="5" spans="1:15" x14ac:dyDescent="0.25">
      <c r="C5" s="86" t="s">
        <v>14</v>
      </c>
      <c r="D5" s="86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x14ac:dyDescent="0.25">
      <c r="A7" s="61">
        <f>IF(ISBLANK(B7),"",_xlfn.ISOWEEKNUM('Journal de travail'!$B7))</f>
        <v>13</v>
      </c>
      <c r="B7" s="26">
        <v>45742</v>
      </c>
      <c r="C7" s="27">
        <v>1</v>
      </c>
      <c r="D7" s="28">
        <v>45</v>
      </c>
      <c r="E7" s="29" t="s">
        <v>19</v>
      </c>
      <c r="F7" s="23" t="s">
        <v>32</v>
      </c>
      <c r="G7" s="38"/>
    </row>
    <row r="8" spans="1:15" x14ac:dyDescent="0.25">
      <c r="A8" s="62" t="str">
        <f>IF(ISBLANK(B8),"",_xlfn.ISOWEEKNUM('Journal de travail'!$B8))</f>
        <v/>
      </c>
      <c r="B8" s="30"/>
      <c r="C8" s="31">
        <v>1</v>
      </c>
      <c r="D8" s="32">
        <v>30</v>
      </c>
      <c r="E8" s="33" t="s">
        <v>19</v>
      </c>
      <c r="F8" s="23" t="s">
        <v>33</v>
      </c>
      <c r="G8" s="39"/>
      <c r="M8" t="s">
        <v>2</v>
      </c>
      <c r="N8">
        <v>1</v>
      </c>
      <c r="O8">
        <v>0</v>
      </c>
    </row>
    <row r="9" spans="1:15" x14ac:dyDescent="0.25">
      <c r="A9" s="63" t="str">
        <f>IF(ISBLANK(B9),"",_xlfn.ISOWEEKNUM('Journal de travail'!$B9))</f>
        <v/>
      </c>
      <c r="B9" s="34"/>
      <c r="C9" s="35"/>
      <c r="D9" s="36">
        <v>30</v>
      </c>
      <c r="E9" s="37" t="s">
        <v>19</v>
      </c>
      <c r="F9" s="84" t="s">
        <v>34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14</v>
      </c>
      <c r="B10" s="30">
        <v>45749</v>
      </c>
      <c r="C10" s="31">
        <v>1</v>
      </c>
      <c r="D10" s="32">
        <v>30</v>
      </c>
      <c r="E10" s="33" t="s">
        <v>19</v>
      </c>
      <c r="F10" s="23" t="s">
        <v>35</v>
      </c>
      <c r="G10" s="39"/>
      <c r="M10" t="s">
        <v>3</v>
      </c>
      <c r="N10">
        <v>3</v>
      </c>
      <c r="O10">
        <v>10</v>
      </c>
    </row>
    <row r="11" spans="1:15" x14ac:dyDescent="0.25">
      <c r="A11" s="63" t="str">
        <f>IF(ISBLANK(B11),"",_xlfn.ISOWEEKNUM('Journal de travail'!$B11))</f>
        <v/>
      </c>
      <c r="B11" s="34"/>
      <c r="C11" s="35">
        <v>1</v>
      </c>
      <c r="D11" s="36">
        <v>30</v>
      </c>
      <c r="E11" s="37" t="s">
        <v>19</v>
      </c>
      <c r="F11" s="23" t="s">
        <v>36</v>
      </c>
      <c r="G11" s="40"/>
      <c r="M11" t="s">
        <v>4</v>
      </c>
      <c r="N11">
        <v>4</v>
      </c>
      <c r="O11">
        <v>15</v>
      </c>
    </row>
    <row r="12" spans="1:15" x14ac:dyDescent="0.25">
      <c r="A12" s="62" t="str">
        <f>IF(ISBLANK(B12),"",_xlfn.ISOWEEKNUM('Journal de travail'!$B12))</f>
        <v/>
      </c>
      <c r="B12" s="30"/>
      <c r="C12" s="31"/>
      <c r="D12" s="32">
        <v>45</v>
      </c>
      <c r="E12" s="33" t="s">
        <v>2</v>
      </c>
      <c r="F12" s="23" t="s">
        <v>37</v>
      </c>
      <c r="G12" s="39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15</v>
      </c>
      <c r="B13" s="34">
        <v>45756</v>
      </c>
      <c r="C13" s="35">
        <v>3</v>
      </c>
      <c r="D13" s="36">
        <v>45</v>
      </c>
      <c r="E13" s="37" t="s">
        <v>3</v>
      </c>
      <c r="F13" s="23" t="s">
        <v>38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18</v>
      </c>
      <c r="B14" s="30">
        <v>45777</v>
      </c>
      <c r="C14" s="31">
        <v>3</v>
      </c>
      <c r="D14" s="32">
        <v>45</v>
      </c>
      <c r="E14" s="33" t="s">
        <v>19</v>
      </c>
      <c r="F14" s="23" t="s">
        <v>39</v>
      </c>
      <c r="G14" s="39" t="s">
        <v>40</v>
      </c>
      <c r="N14">
        <v>7</v>
      </c>
      <c r="O14">
        <v>30</v>
      </c>
    </row>
    <row r="15" spans="1:15" x14ac:dyDescent="0.25">
      <c r="A15" s="63">
        <f>IF(ISBLANK(B15),"",_xlfn.ISOWEEKNUM('Journal de travail'!$B15))</f>
        <v>19</v>
      </c>
      <c r="B15" s="34">
        <v>45784</v>
      </c>
      <c r="C15" s="35">
        <v>2</v>
      </c>
      <c r="D15" s="36">
        <v>0</v>
      </c>
      <c r="E15" s="37" t="s">
        <v>19</v>
      </c>
      <c r="F15" s="23" t="s">
        <v>41</v>
      </c>
      <c r="G15" s="40"/>
      <c r="N15">
        <v>8</v>
      </c>
      <c r="O15">
        <v>35</v>
      </c>
    </row>
    <row r="16" spans="1:15" x14ac:dyDescent="0.25">
      <c r="A16" s="62" t="str">
        <f>IF(ISBLANK(B16),"",_xlfn.ISOWEEKNUM('Journal de travail'!$B16))</f>
        <v/>
      </c>
      <c r="B16" s="30"/>
      <c r="C16" s="31">
        <v>1</v>
      </c>
      <c r="D16" s="32">
        <v>45</v>
      </c>
      <c r="E16" s="33" t="s">
        <v>19</v>
      </c>
      <c r="F16" s="23" t="s">
        <v>42</v>
      </c>
      <c r="G16" s="39"/>
      <c r="O16">
        <v>40</v>
      </c>
    </row>
    <row r="17" spans="1:15" x14ac:dyDescent="0.25">
      <c r="A17" s="63">
        <f>IF(ISBLANK(B17),"",_xlfn.ISOWEEKNUM('Journal de travail'!$B17))</f>
        <v>20</v>
      </c>
      <c r="B17" s="34">
        <v>45791</v>
      </c>
      <c r="C17" s="35"/>
      <c r="D17" s="32">
        <v>30</v>
      </c>
      <c r="E17" s="37" t="s">
        <v>19</v>
      </c>
      <c r="F17" s="23" t="s">
        <v>43</v>
      </c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>
        <v>1</v>
      </c>
      <c r="D18" s="88">
        <v>0</v>
      </c>
      <c r="E18" s="33" t="s">
        <v>19</v>
      </c>
      <c r="F18" s="23" t="s">
        <v>44</v>
      </c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>
        <v>30</v>
      </c>
      <c r="E19" s="37" t="s">
        <v>19</v>
      </c>
      <c r="F19" s="23" t="s">
        <v>45</v>
      </c>
      <c r="G19" s="40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>
        <v>1</v>
      </c>
      <c r="D20" s="32">
        <v>30</v>
      </c>
      <c r="E20" s="33" t="s">
        <v>19</v>
      </c>
      <c r="F20" s="23" t="s">
        <v>46</v>
      </c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>
        <v>15</v>
      </c>
      <c r="E21" s="37" t="s">
        <v>19</v>
      </c>
      <c r="F21" s="23" t="s">
        <v>47</v>
      </c>
      <c r="G21" s="40"/>
    </row>
    <row r="22" spans="1:15" x14ac:dyDescent="0.25">
      <c r="A22" s="62">
        <f>IF(ISBLANK(B22),"",_xlfn.ISOWEEKNUM('Journal de travail'!$B22))</f>
        <v>21</v>
      </c>
      <c r="B22" s="30">
        <v>45798</v>
      </c>
      <c r="C22" s="31">
        <v>1</v>
      </c>
      <c r="D22" s="32">
        <v>0</v>
      </c>
      <c r="E22" s="33" t="s">
        <v>19</v>
      </c>
      <c r="F22" s="23" t="s">
        <v>48</v>
      </c>
      <c r="G22" s="39"/>
    </row>
    <row r="23" spans="1:15" x14ac:dyDescent="0.25">
      <c r="A23" s="63" t="str">
        <f>IF(ISBLANK(B23),"",_xlfn.ISOWEEKNUM('Journal de travail'!$B23))</f>
        <v/>
      </c>
      <c r="B23" s="34"/>
      <c r="C23" s="35">
        <v>1</v>
      </c>
      <c r="D23" s="36">
        <v>30</v>
      </c>
      <c r="E23" s="37" t="s">
        <v>19</v>
      </c>
      <c r="F23" s="23" t="s">
        <v>49</v>
      </c>
      <c r="G23" s="40"/>
    </row>
    <row r="24" spans="1:15" x14ac:dyDescent="0.25">
      <c r="A24" s="62" t="str">
        <f>IF(ISBLANK(B24),"",_xlfn.ISOWEEKNUM('Journal de travail'!$B24))</f>
        <v/>
      </c>
      <c r="B24" s="30"/>
      <c r="C24" s="31">
        <v>1</v>
      </c>
      <c r="D24" s="32">
        <v>15</v>
      </c>
      <c r="E24" s="33" t="s">
        <v>19</v>
      </c>
      <c r="F24" s="23" t="s">
        <v>50</v>
      </c>
      <c r="G24" s="39"/>
    </row>
    <row r="25" spans="1:15" x14ac:dyDescent="0.25">
      <c r="A25" s="63">
        <f>IF(ISBLANK(B25),"",_xlfn.ISOWEEKNUM('Journal de travail'!$B25))</f>
        <v>22</v>
      </c>
      <c r="B25" s="34">
        <v>45805</v>
      </c>
      <c r="C25" s="35"/>
      <c r="D25" s="36">
        <v>30</v>
      </c>
      <c r="E25" s="37" t="s">
        <v>19</v>
      </c>
      <c r="F25" s="23" t="s">
        <v>51</v>
      </c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>
        <v>30</v>
      </c>
      <c r="E26" s="33" t="s">
        <v>19</v>
      </c>
      <c r="F26" s="23" t="s">
        <v>52</v>
      </c>
      <c r="G26" s="39"/>
    </row>
    <row r="27" spans="1:15" x14ac:dyDescent="0.25">
      <c r="A27" s="63" t="str">
        <f>IF(ISBLANK(B27),"",_xlfn.ISOWEEKNUM('Journal de travail'!$B27))</f>
        <v/>
      </c>
      <c r="B27" s="34"/>
      <c r="C27" s="35">
        <v>1</v>
      </c>
      <c r="D27" s="36">
        <v>30</v>
      </c>
      <c r="E27" s="37" t="s">
        <v>19</v>
      </c>
      <c r="F27" s="23" t="s">
        <v>53</v>
      </c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>
        <v>30</v>
      </c>
      <c r="E28" s="33" t="s">
        <v>19</v>
      </c>
      <c r="F28" s="22" t="s">
        <v>54</v>
      </c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>
        <v>45</v>
      </c>
      <c r="E29" s="37" t="s">
        <v>19</v>
      </c>
      <c r="F29" s="22" t="s">
        <v>55</v>
      </c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E7:E532" xr:uid="{EBCA439E-C5F1-BC4C-88EE-2BB045537E3E}">
      <formula1>$M$7:$M$12</formula1>
    </dataValidation>
    <dataValidation type="list" allowBlank="1" showInputMessage="1" showErrorMessage="1" sqref="D19:D532 D7:D17" xr:uid="{46510F84-8BCC-4BD6-9A19-9F03ACD74D05}">
      <formula1>$O$7:$O$19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4" workbookViewId="0">
      <selection activeCell="P11" sqref="P11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88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45</v>
      </c>
      <c r="C6">
        <f t="shared" ref="C6:C10" si="0">SUM(A6:B6)</f>
        <v>45</v>
      </c>
      <c r="E6" s="70" t="str">
        <f>'Journal de travail'!M8</f>
        <v>Analyse</v>
      </c>
      <c r="F6" s="71" t="str">
        <f>QUOTIENT(SUM(A6:B6),60)&amp;" h "&amp;TEXT(MOD(SUM(A6:B6),60), "00")&amp;" min"</f>
        <v>0 h 45 min</v>
      </c>
      <c r="G6" s="72">
        <f>SUM(A6:B6)/$C$11</f>
        <v>2.5000000000000001E-2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 x14ac:dyDescent="0.3">
      <c r="A7">
        <f>SUMIF('Journal de travail'!$E$7:$E$532,Plannification!E7,'Journal de travail'!$C$7:$C$532)*60</f>
        <v>960</v>
      </c>
      <c r="B7">
        <f>SUMIF('Journal de travail'!$E$7:$E$532,Plannification!E7,'Journal de travail'!$D$7:$D$532)</f>
        <v>570</v>
      </c>
      <c r="C7">
        <f t="shared" si="0"/>
        <v>1530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25 h 30 min</v>
      </c>
      <c r="G7" s="75">
        <f t="shared" ref="G7:G9" si="2">SUM(A7:B7)/$C$11</f>
        <v>0.85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35 h 12 m</v>
      </c>
      <c r="N7" s="59">
        <v>0.4</v>
      </c>
    </row>
    <row r="8" spans="1:14" x14ac:dyDescent="0.3">
      <c r="A8">
        <f>SUMIF('Journal de travail'!$E$7:$E$532,Plannification!E8,'Journal de travail'!$C$7:$C$532)*60</f>
        <v>180</v>
      </c>
      <c r="B8">
        <f>SUMIF('Journal de travail'!$E$7:$E$532,Plannification!E8,'Journal de travail'!$D$7:$D$532)</f>
        <v>45</v>
      </c>
      <c r="C8">
        <f t="shared" si="0"/>
        <v>225</v>
      </c>
      <c r="E8" s="76" t="str">
        <f>'Journal de travail'!M10</f>
        <v>Test</v>
      </c>
      <c r="F8" s="71" t="str">
        <f t="shared" si="1"/>
        <v>3 h 45 min</v>
      </c>
      <c r="G8" s="72">
        <f t="shared" si="2"/>
        <v>0.125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7" t="str">
        <f>'Journal de travail'!M11</f>
        <v>Documentation</v>
      </c>
      <c r="F9" s="74" t="str">
        <f t="shared" si="1"/>
        <v>0 h 00 min</v>
      </c>
      <c r="G9" s="75">
        <f t="shared" si="2"/>
        <v>0</v>
      </c>
      <c r="L9" s="55" t="str">
        <f>'Journal de travail'!M11</f>
        <v>Documentation</v>
      </c>
      <c r="M9" s="52" t="str">
        <f t="shared" si="3"/>
        <v>22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4 h 24 m</v>
      </c>
      <c r="N10" s="83">
        <v>0.05</v>
      </c>
    </row>
    <row r="11" spans="1:14" x14ac:dyDescent="0.3">
      <c r="A11">
        <f>SUM(A6:A10)</f>
        <v>1140</v>
      </c>
      <c r="B11">
        <f>SUM(B6:B10)</f>
        <v>660</v>
      </c>
      <c r="C11">
        <f>SUM(A11:B11)</f>
        <v>1800</v>
      </c>
      <c r="E11" s="81" t="s">
        <v>18</v>
      </c>
      <c r="F11" s="71" t="str">
        <f t="shared" si="1"/>
        <v>30 h 00 min</v>
      </c>
      <c r="G11" s="82">
        <f>C11/C12</f>
        <v>0.34090909090909088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5280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João Victor Da Silva Jussani</cp:lastModifiedBy>
  <cp:revision/>
  <dcterms:created xsi:type="dcterms:W3CDTF">2023-11-21T20:00:34Z</dcterms:created>
  <dcterms:modified xsi:type="dcterms:W3CDTF">2025-05-28T14:32:58Z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